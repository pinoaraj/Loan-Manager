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\Downloads\"/>
    </mc:Choice>
  </mc:AlternateContent>
  <xr:revisionPtr revIDLastSave="0" documentId="8_{CECCFF43-6E0E-4A8A-A327-51189B5AF0D4}" xr6:coauthVersionLast="47" xr6:coauthVersionMax="47" xr10:uidLastSave="{00000000-0000-0000-0000-000000000000}"/>
  <bookViews>
    <workbookView xWindow="30" yWindow="30" windowWidth="28770" windowHeight="16170" xr2:uid="{00000000-000D-0000-FFFF-FFFF00000000}"/>
  </bookViews>
  <sheets>
    <sheet name="hoja1_mensual" sheetId="1" r:id="rId1"/>
    <sheet name="Hoja2_quincenal" sheetId="2" r:id="rId2"/>
    <sheet name="hoja3_semanal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1" l="1"/>
  <c r="G27" i="1"/>
  <c r="G26" i="1"/>
  <c r="G25" i="1"/>
  <c r="G24" i="1"/>
  <c r="G23" i="1"/>
  <c r="G22" i="1"/>
  <c r="G21" i="1"/>
  <c r="G20" i="1"/>
  <c r="G19" i="1"/>
  <c r="G18" i="1"/>
  <c r="G17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E28" i="1"/>
  <c r="E27" i="1"/>
  <c r="E26" i="1"/>
  <c r="E25" i="1"/>
  <c r="E24" i="1"/>
  <c r="E23" i="1"/>
  <c r="E22" i="1"/>
  <c r="E21" i="1"/>
  <c r="E20" i="1"/>
  <c r="E19" i="1"/>
  <c r="E18" i="1"/>
  <c r="E17" i="1"/>
  <c r="D28" i="1"/>
  <c r="D27" i="1"/>
  <c r="D26" i="1"/>
  <c r="D25" i="1"/>
  <c r="D24" i="1"/>
  <c r="D23" i="1"/>
  <c r="D22" i="1"/>
  <c r="D21" i="1"/>
  <c r="D20" i="1"/>
  <c r="D19" i="1"/>
  <c r="D18" i="1"/>
  <c r="D17" i="1"/>
  <c r="C28" i="1"/>
  <c r="C27" i="1"/>
  <c r="C26" i="1"/>
  <c r="C25" i="1"/>
  <c r="C24" i="1"/>
  <c r="C23" i="1"/>
  <c r="C22" i="1"/>
  <c r="C21" i="1"/>
  <c r="C20" i="1"/>
  <c r="C19" i="1"/>
  <c r="C18" i="1"/>
  <c r="C17" i="1"/>
  <c r="F16" i="3" l="1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C68" i="3"/>
  <c r="E68" i="3" s="1"/>
  <c r="C67" i="3"/>
  <c r="E67" i="3" s="1"/>
  <c r="C66" i="3"/>
  <c r="E66" i="3" s="1"/>
  <c r="C65" i="3"/>
  <c r="E65" i="3" s="1"/>
  <c r="C64" i="3"/>
  <c r="E64" i="3" s="1"/>
  <c r="C63" i="3"/>
  <c r="E63" i="3" s="1"/>
  <c r="C62" i="3"/>
  <c r="E62" i="3" s="1"/>
  <c r="C61" i="3"/>
  <c r="E61" i="3" s="1"/>
  <c r="C60" i="3"/>
  <c r="E60" i="3" s="1"/>
  <c r="C59" i="3"/>
  <c r="E59" i="3" s="1"/>
  <c r="C58" i="3"/>
  <c r="E58" i="3" s="1"/>
  <c r="C57" i="3"/>
  <c r="E57" i="3" s="1"/>
  <c r="C56" i="3"/>
  <c r="E56" i="3" s="1"/>
  <c r="C55" i="3"/>
  <c r="E55" i="3" s="1"/>
  <c r="C54" i="3"/>
  <c r="E54" i="3" s="1"/>
  <c r="C53" i="3"/>
  <c r="E53" i="3" s="1"/>
  <c r="C52" i="3"/>
  <c r="E52" i="3" s="1"/>
  <c r="C51" i="3"/>
  <c r="E51" i="3" s="1"/>
  <c r="C50" i="3"/>
  <c r="E50" i="3" s="1"/>
  <c r="C49" i="3"/>
  <c r="E49" i="3" s="1"/>
  <c r="C48" i="3"/>
  <c r="E48" i="3" s="1"/>
  <c r="C47" i="3"/>
  <c r="E47" i="3" s="1"/>
  <c r="C46" i="3"/>
  <c r="E46" i="3" s="1"/>
  <c r="C45" i="3"/>
  <c r="E45" i="3" s="1"/>
  <c r="C44" i="3"/>
  <c r="E44" i="3" s="1"/>
  <c r="C43" i="3"/>
  <c r="E43" i="3" s="1"/>
  <c r="C42" i="3"/>
  <c r="E42" i="3" s="1"/>
  <c r="C41" i="3"/>
  <c r="E41" i="3" s="1"/>
  <c r="C40" i="3"/>
  <c r="E40" i="3" s="1"/>
  <c r="C39" i="3"/>
  <c r="E39" i="3" s="1"/>
  <c r="C38" i="3"/>
  <c r="E38" i="3" s="1"/>
  <c r="C37" i="3"/>
  <c r="E37" i="3" s="1"/>
  <c r="C36" i="3"/>
  <c r="E36" i="3" s="1"/>
  <c r="C35" i="3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8" i="3"/>
  <c r="E28" i="3" s="1"/>
  <c r="C27" i="3"/>
  <c r="E27" i="3" s="1"/>
  <c r="C26" i="3"/>
  <c r="E26" i="3" s="1"/>
  <c r="C25" i="3"/>
  <c r="E25" i="3" s="1"/>
  <c r="C24" i="3"/>
  <c r="E24" i="3" s="1"/>
  <c r="C23" i="3"/>
  <c r="E23" i="3" s="1"/>
  <c r="C22" i="3"/>
  <c r="E22" i="3" s="1"/>
  <c r="C21" i="3"/>
  <c r="E21" i="3" s="1"/>
  <c r="C20" i="3"/>
  <c r="E20" i="3" s="1"/>
  <c r="C19" i="3"/>
  <c r="E19" i="3" s="1"/>
  <c r="C18" i="3"/>
  <c r="E18" i="3" s="1"/>
  <c r="C17" i="3"/>
  <c r="F6" i="3" s="1"/>
  <c r="F16" i="2"/>
  <c r="E17" i="2"/>
  <c r="G17" i="2" s="1"/>
  <c r="D21" i="2"/>
  <c r="D20" i="2"/>
  <c r="D19" i="2"/>
  <c r="D18" i="2"/>
  <c r="D17" i="2"/>
  <c r="C21" i="2"/>
  <c r="E21" i="2" s="1"/>
  <c r="C20" i="2"/>
  <c r="E20" i="2" s="1"/>
  <c r="C19" i="2"/>
  <c r="E19" i="2" s="1"/>
  <c r="C18" i="2"/>
  <c r="C17" i="2"/>
  <c r="F6" i="2" s="1"/>
  <c r="F8" i="1"/>
  <c r="F7" i="1"/>
  <c r="F8" i="2"/>
  <c r="F8" i="3"/>
  <c r="F7" i="3"/>
  <c r="F7" i="2"/>
  <c r="E18" i="2" l="1"/>
  <c r="G18" i="2" s="1"/>
  <c r="G19" i="2" s="1"/>
  <c r="G20" i="2" s="1"/>
  <c r="G21" i="2" s="1"/>
  <c r="F9" i="1"/>
  <c r="F17" i="3"/>
  <c r="F18" i="3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E17" i="3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F9" i="2"/>
  <c r="F10" i="2"/>
  <c r="F10" i="1"/>
  <c r="F6" i="1"/>
  <c r="F9" i="3"/>
  <c r="F10" i="3"/>
  <c r="F17" i="2" l="1"/>
  <c r="F18" i="2" s="1"/>
  <c r="F19" i="2" s="1"/>
  <c r="F20" i="2" s="1"/>
  <c r="F21" i="2" s="1"/>
</calcChain>
</file>

<file path=xl/sharedStrings.xml><?xml version="1.0" encoding="utf-8"?>
<sst xmlns="http://schemas.openxmlformats.org/spreadsheetml/2006/main" count="54" uniqueCount="24">
  <si>
    <t>Cantidad</t>
  </si>
  <si>
    <t>Nº de meses</t>
  </si>
  <si>
    <t>Tipo de interés anual</t>
  </si>
  <si>
    <t>periodo del prestamo en años</t>
  </si>
  <si>
    <t>Fecha ingreso</t>
  </si>
  <si>
    <t># Cuota</t>
  </si>
  <si>
    <t>Fecha Pago</t>
  </si>
  <si>
    <t>Intereses</t>
  </si>
  <si>
    <t>Amortización</t>
  </si>
  <si>
    <t>Capital Vivo</t>
  </si>
  <si>
    <t>Capital Amortizado</t>
  </si>
  <si>
    <t>Valor Cuota</t>
  </si>
  <si>
    <t>CALCULO INTERES QUINCENAL</t>
  </si>
  <si>
    <t>Interes mensual</t>
  </si>
  <si>
    <t>valor cuota</t>
  </si>
  <si>
    <t>N° cuotas</t>
  </si>
  <si>
    <t>Total Pago</t>
  </si>
  <si>
    <t>Total Intereses</t>
  </si>
  <si>
    <t>Nº de quincenas</t>
  </si>
  <si>
    <t>CALCULO INTERES SEMANAL</t>
  </si>
  <si>
    <t>Nº de semanas</t>
  </si>
  <si>
    <t>Interes semanal</t>
  </si>
  <si>
    <t>Interes quincenal</t>
  </si>
  <si>
    <t>Evelin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</si>
</sst>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$&quot;#,##0.00_);[Red]\(&quot;$&quot;#,##0.00\)"/>
    <numFmt numFmtId="164" formatCode="&quot;$&quot;\ #,##0.00;[Red]\-&quot;$&quot;\ #,##0.00"/>
    <numFmt numFmtId="165" formatCode="_-&quot;$&quot;\ * #,##0.00_-;\-&quot;$&quot;\ * #,##0.00_-;_-&quot;$&quot;\ * &quot;-&quot;??_-;_-@_-"/>
    <numFmt numFmtId="166" formatCode="#,##0.00\ &quot;$&quot;"/>
    <numFmt numFmtId="167" formatCode="dd\-mm\-yyyy"/>
    <numFmt numFmtId="168" formatCode="#,##\ 0.00\ &quot;$&quot;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166" fontId="0" fillId="0" borderId="0" xfId="0" applyNumberFormat="1"/>
    <xf numFmtId="10" fontId="0" fillId="0" borderId="0" xfId="0" applyNumberFormat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14" fontId="0" fillId="0" borderId="0" xfId="0" applyNumberFormat="1"/>
    <xf numFmtId="164" fontId="1" fillId="2" borderId="0" xfId="0" applyNumberFormat="1" applyFont="1" applyFill="1"/>
    <xf numFmtId="0" fontId="0" fillId="0" borderId="1" xfId="0" applyBorder="1"/>
    <xf numFmtId="0" fontId="6" fillId="0" borderId="1" xfId="0" applyFont="1" applyBorder="1"/>
    <xf numFmtId="10" fontId="6" fillId="0" borderId="1" xfId="0" applyNumberFormat="1" applyFont="1" applyBorder="1"/>
    <xf numFmtId="167" fontId="6" fillId="0" borderId="1" xfId="0" applyNumberFormat="1" applyFont="1" applyBorder="1"/>
    <xf numFmtId="0" fontId="5" fillId="0" borderId="1" xfId="0" applyFont="1" applyBorder="1"/>
    <xf numFmtId="0" fontId="2" fillId="0" borderId="1" xfId="0" applyFont="1" applyBorder="1"/>
    <xf numFmtId="165" fontId="0" fillId="0" borderId="0" xfId="1" applyFont="1" applyAlignment="1">
      <alignment horizontal="right"/>
    </xf>
    <xf numFmtId="165" fontId="2" fillId="0" borderId="1" xfId="1" applyFont="1" applyBorder="1" applyAlignment="1">
      <alignment horizontal="right"/>
    </xf>
    <xf numFmtId="0" fontId="6" fillId="0" borderId="1" xfId="1" applyNumberFormat="1" applyFont="1" applyBorder="1" applyAlignment="1">
      <alignment horizontal="right"/>
    </xf>
    <xf numFmtId="9" fontId="5" fillId="0" borderId="1" xfId="2" applyFont="1" applyBorder="1" applyAlignment="1">
      <alignment horizontal="right"/>
    </xf>
    <xf numFmtId="166" fontId="0" fillId="0" borderId="1" xfId="0" applyNumberFormat="1" applyBorder="1"/>
    <xf numFmtId="10" fontId="0" fillId="0" borderId="1" xfId="0" applyNumberFormat="1" applyBorder="1"/>
    <xf numFmtId="167" fontId="0" fillId="0" borderId="1" xfId="0" applyNumberFormat="1" applyBorder="1"/>
    <xf numFmtId="168" fontId="0" fillId="0" borderId="0" xfId="0" applyNumberFormat="1"/>
    <xf numFmtId="168" fontId="0" fillId="0" borderId="1" xfId="0" applyNumberFormat="1" applyBorder="1"/>
    <xf numFmtId="22" fontId="0" fillId="0" borderId="0" xfId="0" applyNumberFormat="1"/>
    <xf numFmtId="8" fontId="0" fillId="0" borderId="0" xfId="0" applyNumberFormat="1"/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9" defaultPivotStyle="PivotStyleLight16">
    <tableStyle name="Invisible" pivot="0" table="0" count="0" xr9:uid="{CAC1F2D6-2C7A-4DDC-96EE-748D735CE8B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11</xdr:row>
          <xdr:rowOff>9525</xdr:rowOff>
        </xdr:from>
        <xdr:to>
          <xdr:col>2</xdr:col>
          <xdr:colOff>142875</xdr:colOff>
          <xdr:row>12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Ingrese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11</xdr:row>
          <xdr:rowOff>9525</xdr:rowOff>
        </xdr:from>
        <xdr:to>
          <xdr:col>2</xdr:col>
          <xdr:colOff>161925</xdr:colOff>
          <xdr:row>12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11</xdr:row>
          <xdr:rowOff>0</xdr:rowOff>
        </xdr:from>
        <xdr:to>
          <xdr:col>2</xdr:col>
          <xdr:colOff>85725</xdr:colOff>
          <xdr:row>12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000"/>
  <sheetViews>
    <sheetView tabSelected="1" workbookViewId="0">
      <selection activeCell="G28" sqref="G28"/>
    </sheetView>
  </sheetViews>
  <sheetFormatPr defaultColWidth="10.85546875" defaultRowHeight="15" x14ac:dyDescent="0.25"/>
  <cols>
    <col min="1" max="1" width="7.5703125" bestFit="1" customWidth="1"/>
    <col min="2" max="2" width="10.85546875" bestFit="1" customWidth="1"/>
    <col min="3" max="3" width="11.28515625" bestFit="1" customWidth="1"/>
    <col min="4" max="4" width="9.28515625" bestFit="1" customWidth="1"/>
    <col min="5" max="5" width="14.140625" bestFit="1" customWidth="1"/>
    <col min="6" max="6" width="13" style="15" bestFit="1" customWidth="1"/>
    <col min="7" max="7" width="18" bestFit="1" customWidth="1"/>
  </cols>
  <sheetData>
    <row r="1" spans="1:7" x14ac:dyDescent="0.25">
      <c r="A1" s="1"/>
      <c r="B1" s="2"/>
    </row>
    <row r="2" spans="1:7" x14ac:dyDescent="0.25">
      <c r="A2" s="1"/>
    </row>
    <row r="3" spans="1:7" x14ac:dyDescent="0.25">
      <c r="A3" s="1"/>
      <c r="B3" s="3"/>
    </row>
    <row r="4" spans="1:7" ht="28.5" x14ac:dyDescent="0.45">
      <c r="A4" s="26" t="s">
        <v>23</v>
      </c>
      <c r="B4" s="26"/>
      <c r="C4" s="26"/>
      <c r="D4" s="26"/>
      <c r="E4" s="26"/>
      <c r="F4" s="26"/>
      <c r="G4" s="26"/>
    </row>
    <row r="5" spans="1:7" x14ac:dyDescent="0.25">
      <c r="A5" s="28"/>
      <c r="B5" s="28"/>
      <c r="C5" s="9"/>
    </row>
    <row r="6" spans="1:7" x14ac:dyDescent="0.25">
      <c r="A6" s="29" t="s">
        <v>0</v>
      </c>
      <c r="B6" s="29"/>
      <c r="C6" s="19">
        <v>1000</v>
      </c>
      <c r="E6" s="14" t="s">
        <v>14</v>
      </c>
      <c r="F6" s="16">
        <f>C17</f>
        <v>146.76331510028731</v>
      </c>
      <c r="G6" s="6"/>
    </row>
    <row r="7" spans="1:7" x14ac:dyDescent="0.25">
      <c r="A7" s="27" t="s">
        <v>1</v>
      </c>
      <c r="B7" s="27"/>
      <c r="C7" s="9">
        <v>12</v>
      </c>
      <c r="E7" s="13" t="s">
        <v>15</v>
      </c>
      <c r="F7" s="17">
        <f>(C7*C8)</f>
        <v>12</v>
      </c>
    </row>
    <row r="8" spans="1:7" x14ac:dyDescent="0.25">
      <c r="A8" s="27" t="s">
        <v>3</v>
      </c>
      <c r="B8" s="27"/>
      <c r="C8" s="9">
        <v>1</v>
      </c>
      <c r="E8" s="13" t="s">
        <v>13</v>
      </c>
      <c r="F8" s="18">
        <f>(C9/12)</f>
        <v>9.9999999999999992E-2</v>
      </c>
      <c r="G8" s="5"/>
    </row>
    <row r="9" spans="1:7" x14ac:dyDescent="0.25">
      <c r="A9" s="27" t="s">
        <v>2</v>
      </c>
      <c r="B9" s="27"/>
      <c r="C9" s="20">
        <v>1.2</v>
      </c>
      <c r="E9" s="14" t="s">
        <v>17</v>
      </c>
      <c r="F9" s="16">
        <f>SUM(D17:D1000)</f>
        <v>761.15978120344766</v>
      </c>
      <c r="G9" s="5"/>
    </row>
    <row r="10" spans="1:7" x14ac:dyDescent="0.25">
      <c r="A10" s="27" t="s">
        <v>4</v>
      </c>
      <c r="B10" s="27"/>
      <c r="C10" s="21">
        <v>43299</v>
      </c>
      <c r="E10" s="14" t="s">
        <v>16</v>
      </c>
      <c r="F10" s="16">
        <f>SUM(C17:C1000)</f>
        <v>1761.1597812034481</v>
      </c>
      <c r="G10" s="5"/>
    </row>
    <row r="11" spans="1:7" x14ac:dyDescent="0.25">
      <c r="F11"/>
      <c r="G11" s="5"/>
    </row>
    <row r="12" spans="1:7" x14ac:dyDescent="0.25">
      <c r="F12"/>
      <c r="G12" s="5"/>
    </row>
    <row r="13" spans="1:7" x14ac:dyDescent="0.25">
      <c r="F13"/>
      <c r="G13" s="5"/>
    </row>
    <row r="14" spans="1:7" x14ac:dyDescent="0.25">
      <c r="F14"/>
      <c r="G14" s="5"/>
    </row>
    <row r="15" spans="1:7" x14ac:dyDescent="0.25">
      <c r="A15" s="4" t="s">
        <v>5</v>
      </c>
      <c r="B15" s="4" t="s">
        <v>6</v>
      </c>
      <c r="C15" s="4" t="s">
        <v>11</v>
      </c>
      <c r="D15" s="4" t="s">
        <v>7</v>
      </c>
      <c r="E15" s="4" t="s">
        <v>8</v>
      </c>
      <c r="F15" s="4" t="s">
        <v>9</v>
      </c>
      <c r="G15" s="8" t="s">
        <v>10</v>
      </c>
    </row>
    <row r="16" spans="1:7" x14ac:dyDescent="0.25">
      <c r="A16">
        <v>0</v>
      </c>
      <c r="F16" s="2">
        <f>C6</f>
        <v>1000</v>
      </c>
    </row>
    <row r="17" spans="1:7" x14ac:dyDescent="0.25">
      <c r="A17">
        <v>1</v>
      </c>
      <c r="B17" s="7">
        <v>43330</v>
      </c>
      <c r="C17" s="25">
        <f>PMT($C$9/12,$C$7,-$C$6)</f>
        <v>146.76331510028731</v>
      </c>
      <c r="D17" s="25">
        <f>IPMT($C$9/12,A17,$C$7,-$C$6)</f>
        <v>99.999999999999986</v>
      </c>
      <c r="E17" s="25">
        <f>C17-D17</f>
        <v>46.763315100287329</v>
      </c>
      <c r="F17" s="2">
        <f>F16-E18</f>
        <v>948.560353389684</v>
      </c>
      <c r="G17" s="25">
        <f>G16+E17</f>
        <v>46.763315100287329</v>
      </c>
    </row>
    <row r="18" spans="1:7" x14ac:dyDescent="0.25">
      <c r="A18">
        <v>2</v>
      </c>
      <c r="B18" s="7">
        <v>43361</v>
      </c>
      <c r="C18" s="25">
        <f>PMT($C$9/12,$C$7,-$C$6)</f>
        <v>146.76331510028731</v>
      </c>
      <c r="D18" s="25">
        <f>IPMT($C$9/12,A18,$C$7,-$C$6)</f>
        <v>95.323668489971269</v>
      </c>
      <c r="E18" s="25">
        <f>C18-D18</f>
        <v>51.439646610316046</v>
      </c>
      <c r="F18" s="2">
        <f>F17-E19</f>
        <v>891.97674211833635</v>
      </c>
      <c r="G18" s="25">
        <f>G17+E18</f>
        <v>98.202961710603375</v>
      </c>
    </row>
    <row r="19" spans="1:7" x14ac:dyDescent="0.25">
      <c r="A19">
        <v>3</v>
      </c>
      <c r="B19" s="7">
        <v>43391</v>
      </c>
      <c r="C19" s="25">
        <f>PMT($C$9/12,$C$7,-$C$6)</f>
        <v>146.76331510028731</v>
      </c>
      <c r="D19" s="25">
        <f>IPMT($C$9/12,A19,$C$7,-$C$6)</f>
        <v>90.17970382893968</v>
      </c>
      <c r="E19" s="25">
        <f>C19-D19</f>
        <v>56.583611271347635</v>
      </c>
      <c r="F19" s="2">
        <f>F18-E20</f>
        <v>829.73476971985394</v>
      </c>
      <c r="G19" s="25">
        <f>G18+E19</f>
        <v>154.786572981951</v>
      </c>
    </row>
    <row r="20" spans="1:7" x14ac:dyDescent="0.25">
      <c r="A20">
        <v>4</v>
      </c>
      <c r="B20" s="7">
        <v>43422</v>
      </c>
      <c r="C20" s="25">
        <f>PMT($C$9/12,$C$7,-$C$6)</f>
        <v>146.76331510028731</v>
      </c>
      <c r="D20" s="25">
        <f>IPMT($C$9/12,A20,$C$7,-$C$6)</f>
        <v>84.521342701804912</v>
      </c>
      <c r="E20" s="25">
        <f>C20-D20</f>
        <v>62.241972398482403</v>
      </c>
      <c r="F20" s="2">
        <f>F19-E21</f>
        <v>761.26860008152335</v>
      </c>
      <c r="G20" s="25">
        <f>G19+E20</f>
        <v>217.0285453804334</v>
      </c>
    </row>
    <row r="21" spans="1:7" x14ac:dyDescent="0.25">
      <c r="A21">
        <v>5</v>
      </c>
      <c r="B21" s="7">
        <v>43452</v>
      </c>
      <c r="C21" s="25">
        <f>PMT($C$9/12,$C$7,-$C$6)</f>
        <v>146.76331510028731</v>
      </c>
      <c r="D21" s="25">
        <f>IPMT($C$9/12,A21,$C$7,-$C$6)</f>
        <v>78.29714546195666</v>
      </c>
      <c r="E21" s="25">
        <f>C21-D21</f>
        <v>68.466169638330655</v>
      </c>
      <c r="F21" s="2">
        <f>F20-E22</f>
        <v>685.95581347935968</v>
      </c>
      <c r="G21" s="25">
        <f>G20+E21</f>
        <v>285.49471501876405</v>
      </c>
    </row>
    <row r="22" spans="1:7" x14ac:dyDescent="0.25">
      <c r="A22">
        <v>6</v>
      </c>
      <c r="B22" s="7">
        <v>43483</v>
      </c>
      <c r="C22" s="25">
        <f>PMT($C$9/12,$C$7,-$C$6)</f>
        <v>146.76331510028731</v>
      </c>
      <c r="D22" s="25">
        <f>IPMT($C$9/12,A22,$C$7,-$C$6)</f>
        <v>71.450528498123603</v>
      </c>
      <c r="E22" s="25">
        <f>C22-D22</f>
        <v>75.312786602163712</v>
      </c>
      <c r="F22" s="2">
        <f>F21-E23</f>
        <v>603.11174821697955</v>
      </c>
      <c r="G22" s="25">
        <f>G21+E22</f>
        <v>360.80750162092778</v>
      </c>
    </row>
    <row r="23" spans="1:7" x14ac:dyDescent="0.25">
      <c r="A23">
        <v>7</v>
      </c>
      <c r="B23" s="7">
        <v>43514</v>
      </c>
      <c r="C23" s="25">
        <f>PMT($C$9/12,$C$7,-$C$6)</f>
        <v>146.76331510028731</v>
      </c>
      <c r="D23" s="25">
        <f>IPMT($C$9/12,A23,$C$7,-$C$6)</f>
        <v>63.91924983790723</v>
      </c>
      <c r="E23" s="25">
        <f>C23-D23</f>
        <v>82.844065262380084</v>
      </c>
      <c r="F23" s="2">
        <f>F22-E24</f>
        <v>511.98327642836148</v>
      </c>
      <c r="G23" s="25">
        <f>G22+E23</f>
        <v>443.65156688330785</v>
      </c>
    </row>
    <row r="24" spans="1:7" x14ac:dyDescent="0.25">
      <c r="A24">
        <v>8</v>
      </c>
      <c r="B24" s="7">
        <v>43542</v>
      </c>
      <c r="C24" s="25">
        <f>PMT($C$9/12,$C$7,-$C$6)</f>
        <v>146.76331510028731</v>
      </c>
      <c r="D24" s="25">
        <f>IPMT($C$9/12,A24,$C$7,-$C$6)</f>
        <v>55.634843311669222</v>
      </c>
      <c r="E24" s="25">
        <f>C24-D24</f>
        <v>91.1284717886181</v>
      </c>
      <c r="F24" s="2">
        <f>F23-E25</f>
        <v>411.74195746088162</v>
      </c>
      <c r="G24" s="25">
        <f>G23+E24</f>
        <v>534.78003867192592</v>
      </c>
    </row>
    <row r="25" spans="1:7" x14ac:dyDescent="0.25">
      <c r="A25">
        <v>9</v>
      </c>
      <c r="B25" s="7">
        <v>43573</v>
      </c>
      <c r="C25" s="25">
        <f>PMT($C$9/12,$C$7,-$C$6)</f>
        <v>146.76331510028731</v>
      </c>
      <c r="D25" s="25">
        <f>IPMT($C$9/12,A25,$C$7,-$C$6)</f>
        <v>46.521996132807423</v>
      </c>
      <c r="E25" s="25">
        <f>C25-D25</f>
        <v>100.24131896747988</v>
      </c>
      <c r="F25" s="2">
        <f>F24-E26</f>
        <v>301.47650659665373</v>
      </c>
      <c r="G25" s="25">
        <f>G24+E25</f>
        <v>635.02135763940578</v>
      </c>
    </row>
    <row r="26" spans="1:7" x14ac:dyDescent="0.25">
      <c r="A26">
        <v>10</v>
      </c>
      <c r="B26" s="7">
        <v>43603</v>
      </c>
      <c r="C26" s="25">
        <f>PMT($C$9/12,$C$7,-$C$6)</f>
        <v>146.76331510028731</v>
      </c>
      <c r="D26" s="25">
        <f>IPMT($C$9/12,A26,$C$7,-$C$6)</f>
        <v>36.497864236059428</v>
      </c>
      <c r="E26" s="25">
        <f>C26-D26</f>
        <v>110.26545086422789</v>
      </c>
      <c r="F26" s="2">
        <f>F25-E27</f>
        <v>180.18451064600305</v>
      </c>
      <c r="G26" s="25">
        <f>G25+E26</f>
        <v>745.28680850363367</v>
      </c>
    </row>
    <row r="27" spans="1:7" x14ac:dyDescent="0.25">
      <c r="A27">
        <v>11</v>
      </c>
      <c r="B27" s="7">
        <v>43634</v>
      </c>
      <c r="C27" s="25">
        <f>PMT($C$9/12,$C$7,-$C$6)</f>
        <v>146.76331510028731</v>
      </c>
      <c r="D27" s="25">
        <f>IPMT($C$9/12,A27,$C$7,-$C$6)</f>
        <v>25.471319149636638</v>
      </c>
      <c r="E27" s="25">
        <f>C27-D27</f>
        <v>121.29199595065067</v>
      </c>
      <c r="F27" s="2">
        <f>F26-E28</f>
        <v>46.763315100287315</v>
      </c>
      <c r="G27" s="25">
        <f>G26+E27</f>
        <v>866.5788044542843</v>
      </c>
    </row>
    <row r="28" spans="1:7" x14ac:dyDescent="0.25">
      <c r="A28">
        <v>12</v>
      </c>
      <c r="B28" s="7">
        <v>43664</v>
      </c>
      <c r="C28" s="25">
        <f>PMT($C$9/12,$C$7,-$C$6)</f>
        <v>146.76331510028731</v>
      </c>
      <c r="D28" s="25">
        <f>IPMT($C$9/12,A28,$C$7,-$C$6)</f>
        <v>13.342119554571573</v>
      </c>
      <c r="E28" s="25">
        <f>C28-D28</f>
        <v>133.42119554571573</v>
      </c>
      <c r="F28" s="2">
        <f>F27-E29</f>
        <v>46.763315100287315</v>
      </c>
      <c r="G28" s="25">
        <f>G27+E28</f>
        <v>1000</v>
      </c>
    </row>
    <row r="29" spans="1:7" x14ac:dyDescent="0.25">
      <c r="B29">
        <v>12</v>
      </c>
      <c r="F29"/>
    </row>
    <row r="30" spans="1:7" x14ac:dyDescent="0.25">
      <c r="F30"/>
    </row>
    <row r="31" spans="1:7" x14ac:dyDescent="0.25">
      <c r="F31"/>
    </row>
    <row r="32" spans="1:7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mergeCells count="7">
    <mergeCell ref="A4:G4"/>
    <mergeCell ref="A10:B10"/>
    <mergeCell ref="A5:B5"/>
    <mergeCell ref="A6:B6"/>
    <mergeCell ref="A7:B7"/>
    <mergeCell ref="A8:B8"/>
    <mergeCell ref="A9:B9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Hoja1.prestamo">
                <anchor moveWithCells="1" sizeWithCells="1">
                  <from>
                    <xdr:col>0</xdr:col>
                    <xdr:colOff>304800</xdr:colOff>
                    <xdr:row>11</xdr:row>
                    <xdr:rowOff>9525</xdr:rowOff>
                  </from>
                  <to>
                    <xdr:col>2</xdr:col>
                    <xdr:colOff>142875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4:G22"/>
  <sheetViews>
    <sheetView workbookViewId="0">
      <selection activeCell="H10" sqref="H10"/>
    </sheetView>
  </sheetViews>
  <sheetFormatPr defaultColWidth="10.85546875" defaultRowHeight="15" x14ac:dyDescent="0.25"/>
  <cols>
    <col min="5" max="5" width="14.140625" bestFit="1" customWidth="1"/>
    <col min="7" max="7" width="18" bestFit="1" customWidth="1"/>
  </cols>
  <sheetData>
    <row r="4" spans="1:7" ht="28.5" x14ac:dyDescent="0.45">
      <c r="A4" s="26" t="s">
        <v>12</v>
      </c>
      <c r="B4" s="26"/>
      <c r="C4" s="26"/>
      <c r="D4" s="26"/>
      <c r="E4" s="26"/>
      <c r="F4" s="26"/>
      <c r="G4" s="26"/>
    </row>
    <row r="5" spans="1:7" x14ac:dyDescent="0.25">
      <c r="A5" s="28"/>
      <c r="B5" s="28"/>
      <c r="C5" s="9"/>
      <c r="F5" s="15"/>
    </row>
    <row r="6" spans="1:7" x14ac:dyDescent="0.25">
      <c r="A6" s="29" t="s">
        <v>0</v>
      </c>
      <c r="B6" s="29"/>
      <c r="C6" s="19">
        <v>5000</v>
      </c>
      <c r="E6" s="14" t="s">
        <v>14</v>
      </c>
      <c r="F6" s="16">
        <f>C17</f>
        <v>1306.0526744226743</v>
      </c>
    </row>
    <row r="7" spans="1:7" x14ac:dyDescent="0.25">
      <c r="A7" s="27" t="s">
        <v>18</v>
      </c>
      <c r="B7" s="27"/>
      <c r="C7" s="10">
        <v>5</v>
      </c>
      <c r="E7" s="13" t="s">
        <v>15</v>
      </c>
      <c r="F7" s="17">
        <f>(C7*C8)</f>
        <v>5</v>
      </c>
    </row>
    <row r="8" spans="1:7" x14ac:dyDescent="0.25">
      <c r="A8" s="27" t="s">
        <v>3</v>
      </c>
      <c r="B8" s="27"/>
      <c r="C8" s="10">
        <v>1</v>
      </c>
      <c r="E8" s="13" t="s">
        <v>22</v>
      </c>
      <c r="F8" s="18">
        <f>(C9/26)</f>
        <v>9.6153846153846159E-2</v>
      </c>
    </row>
    <row r="9" spans="1:7" x14ac:dyDescent="0.25">
      <c r="A9" s="27" t="s">
        <v>2</v>
      </c>
      <c r="B9" s="27"/>
      <c r="C9" s="11">
        <v>2.5</v>
      </c>
      <c r="E9" s="14" t="s">
        <v>17</v>
      </c>
      <c r="F9" s="16">
        <f>SUM(D17:D1000)</f>
        <v>1530.2633721133716</v>
      </c>
    </row>
    <row r="10" spans="1:7" x14ac:dyDescent="0.25">
      <c r="A10" s="27" t="s">
        <v>4</v>
      </c>
      <c r="B10" s="27"/>
      <c r="C10" s="12">
        <v>43299</v>
      </c>
      <c r="E10" s="14" t="s">
        <v>16</v>
      </c>
      <c r="F10" s="16">
        <f>SUM(C17:C1000)</f>
        <v>6530.2633721133716</v>
      </c>
    </row>
    <row r="15" spans="1:7" x14ac:dyDescent="0.25">
      <c r="A15" s="4" t="s">
        <v>5</v>
      </c>
      <c r="B15" s="4" t="s">
        <v>6</v>
      </c>
      <c r="C15" s="4" t="s">
        <v>11</v>
      </c>
      <c r="D15" s="4" t="s">
        <v>7</v>
      </c>
      <c r="E15" s="4" t="s">
        <v>8</v>
      </c>
      <c r="F15" s="4" t="s">
        <v>9</v>
      </c>
      <c r="G15" s="4" t="s">
        <v>10</v>
      </c>
    </row>
    <row r="16" spans="1:7" x14ac:dyDescent="0.25">
      <c r="A16">
        <v>0</v>
      </c>
      <c r="F16" s="2">
        <f>C6</f>
        <v>5000</v>
      </c>
    </row>
    <row r="17" spans="1:7" x14ac:dyDescent="0.25">
      <c r="A17">
        <v>1</v>
      </c>
      <c r="B17" s="7">
        <v>43313</v>
      </c>
      <c r="C17" s="5">
        <f>PMT($C$9/26,$C$7,-$C$6)</f>
        <v>1306.0526744226743</v>
      </c>
      <c r="D17" s="5">
        <f>IPMT($C$9/26,A17,$C$7,-$C$6)</f>
        <v>480.76923076923077</v>
      </c>
      <c r="E17" s="5">
        <f>C17-D17</f>
        <v>825.28344365344356</v>
      </c>
      <c r="F17" s="2">
        <f>F16-E18</f>
        <v>4095.3623790721867</v>
      </c>
      <c r="G17" s="5">
        <f>G16+E17</f>
        <v>825.28344365344356</v>
      </c>
    </row>
    <row r="18" spans="1:7" x14ac:dyDescent="0.25">
      <c r="A18">
        <v>2</v>
      </c>
      <c r="B18" s="7">
        <v>43327</v>
      </c>
      <c r="C18" s="5">
        <f>PMT($C$9/26,$C$7,-$C$6)</f>
        <v>1306.0526744226743</v>
      </c>
      <c r="D18" s="5">
        <f>IPMT($C$9/26,A18,$C$7,-$C$6)</f>
        <v>401.41505349486118</v>
      </c>
      <c r="E18" s="5">
        <f>C18-D18</f>
        <v>904.63762092781303</v>
      </c>
      <c r="F18" s="2">
        <f>F17-E19</f>
        <v>3103.7403715166993</v>
      </c>
      <c r="G18" s="5">
        <f>G17+E18</f>
        <v>1729.9210645812566</v>
      </c>
    </row>
    <row r="19" spans="1:7" x14ac:dyDescent="0.25">
      <c r="A19">
        <v>3</v>
      </c>
      <c r="B19" s="7">
        <v>43341</v>
      </c>
      <c r="C19" s="5">
        <f>PMT($C$9/26,$C$7,-$C$6)</f>
        <v>1306.0526744226743</v>
      </c>
      <c r="D19" s="5">
        <f>IPMT($C$9/26,A19,$C$7,-$C$6)</f>
        <v>314.43066686718686</v>
      </c>
      <c r="E19" s="5">
        <f>C19-D19</f>
        <v>991.62200755548747</v>
      </c>
      <c r="F19" s="2">
        <f>F18-E20</f>
        <v>2016.7700940039535</v>
      </c>
      <c r="G19" s="5">
        <f>G18+E19</f>
        <v>2721.5430721367438</v>
      </c>
    </row>
    <row r="20" spans="1:7" x14ac:dyDescent="0.25">
      <c r="A20">
        <v>4</v>
      </c>
      <c r="B20" s="7">
        <v>43355</v>
      </c>
      <c r="C20" s="5">
        <f>PMT($C$9/26,$C$7,-$C$6)</f>
        <v>1306.0526744226743</v>
      </c>
      <c r="D20" s="5">
        <f>IPMT($C$9/26,A20,$C$7,-$C$6)</f>
        <v>219.08239690992843</v>
      </c>
      <c r="E20" s="5">
        <f>C20-D20</f>
        <v>1086.9702775127457</v>
      </c>
      <c r="F20" s="2">
        <f>F19-E21</f>
        <v>825.28344365344378</v>
      </c>
      <c r="G20" s="5">
        <f>G19+E20</f>
        <v>3808.5133496494896</v>
      </c>
    </row>
    <row r="21" spans="1:7" x14ac:dyDescent="0.25">
      <c r="A21">
        <v>5</v>
      </c>
      <c r="B21" s="7">
        <v>43369</v>
      </c>
      <c r="C21" s="5">
        <f>PMT($C$9/26,$C$7,-$C$6)</f>
        <v>1306.0526744226743</v>
      </c>
      <c r="D21" s="5">
        <f>IPMT($C$9/26,A21,$C$7,-$C$6)</f>
        <v>114.56602407216441</v>
      </c>
      <c r="E21" s="5">
        <f>C21-D21</f>
        <v>1191.4866503505098</v>
      </c>
      <c r="F21" s="2">
        <f>F20-E22</f>
        <v>825.28344365344378</v>
      </c>
      <c r="G21" s="5">
        <f>G20+E21</f>
        <v>4999.9999999999991</v>
      </c>
    </row>
    <row r="22" spans="1:7" x14ac:dyDescent="0.25">
      <c r="B22">
        <v>5</v>
      </c>
    </row>
  </sheetData>
  <mergeCells count="7">
    <mergeCell ref="A10:B10"/>
    <mergeCell ref="A4:G4"/>
    <mergeCell ref="A5:B5"/>
    <mergeCell ref="A6:B6"/>
    <mergeCell ref="A7:B7"/>
    <mergeCell ref="A8:B8"/>
    <mergeCell ref="A9:B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Hoja2.prestamo">
                <anchor moveWithCells="1" sizeWithCells="1">
                  <from>
                    <xdr:col>0</xdr:col>
                    <xdr:colOff>495300</xdr:colOff>
                    <xdr:row>11</xdr:row>
                    <xdr:rowOff>9525</xdr:rowOff>
                  </from>
                  <to>
                    <xdr:col>2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4:G69"/>
  <sheetViews>
    <sheetView workbookViewId="0">
      <selection activeCell="J15" sqref="J15"/>
    </sheetView>
  </sheetViews>
  <sheetFormatPr defaultColWidth="10.85546875" defaultRowHeight="15" x14ac:dyDescent="0.25"/>
  <cols>
    <col min="2" max="2" width="16.7109375" customWidth="1"/>
    <col min="5" max="5" width="14.140625" bestFit="1" customWidth="1"/>
    <col min="7" max="7" width="18" bestFit="1" customWidth="1"/>
  </cols>
  <sheetData>
    <row r="4" spans="1:7" ht="28.5" x14ac:dyDescent="0.45">
      <c r="A4" s="26" t="s">
        <v>19</v>
      </c>
      <c r="B4" s="26"/>
      <c r="C4" s="26"/>
      <c r="D4" s="26"/>
      <c r="E4" s="26"/>
      <c r="F4" s="26"/>
      <c r="G4" s="26"/>
    </row>
    <row r="6" spans="1:7" x14ac:dyDescent="0.25">
      <c r="A6" s="30" t="s">
        <v>0</v>
      </c>
      <c r="B6" s="31"/>
      <c r="C6" s="23">
        <v>1000</v>
      </c>
      <c r="E6" s="14" t="s">
        <v>14</v>
      </c>
      <c r="F6" s="16">
        <f>C17</f>
        <v>96.972936716187007</v>
      </c>
    </row>
    <row r="7" spans="1:7" x14ac:dyDescent="0.25">
      <c r="A7" s="14" t="s">
        <v>20</v>
      </c>
      <c r="B7" s="9"/>
      <c r="C7" s="9">
        <v>52</v>
      </c>
      <c r="E7" s="13" t="s">
        <v>15</v>
      </c>
      <c r="F7" s="17">
        <f>(C7*C8)</f>
        <v>52</v>
      </c>
    </row>
    <row r="8" spans="1:7" x14ac:dyDescent="0.25">
      <c r="A8" s="14" t="s">
        <v>3</v>
      </c>
      <c r="B8" s="9"/>
      <c r="C8" s="9">
        <v>1</v>
      </c>
      <c r="E8" s="13" t="s">
        <v>21</v>
      </c>
      <c r="F8" s="18">
        <f>(C9/52)</f>
        <v>9.6153846153846159E-2</v>
      </c>
    </row>
    <row r="9" spans="1:7" x14ac:dyDescent="0.25">
      <c r="A9" s="14" t="s">
        <v>2</v>
      </c>
      <c r="B9" s="9"/>
      <c r="C9" s="20">
        <v>5</v>
      </c>
      <c r="E9" s="14" t="s">
        <v>17</v>
      </c>
      <c r="F9" s="16">
        <f>SUM(D17:D1000)</f>
        <v>4042.5927092417242</v>
      </c>
    </row>
    <row r="10" spans="1:7" x14ac:dyDescent="0.25">
      <c r="A10" s="14" t="s">
        <v>4</v>
      </c>
      <c r="B10" s="9"/>
      <c r="C10" s="21">
        <v>43300.583055555559</v>
      </c>
      <c r="E10" s="14" t="s">
        <v>16</v>
      </c>
      <c r="F10" s="16">
        <f>SUM(C17:C1000)</f>
        <v>5042.5927092417287</v>
      </c>
    </row>
    <row r="15" spans="1:7" x14ac:dyDescent="0.25">
      <c r="A15" s="4" t="s">
        <v>5</v>
      </c>
      <c r="B15" s="4" t="s">
        <v>6</v>
      </c>
      <c r="C15" s="4" t="s">
        <v>11</v>
      </c>
      <c r="D15" s="4" t="s">
        <v>7</v>
      </c>
      <c r="E15" s="4" t="s">
        <v>8</v>
      </c>
      <c r="F15" s="4" t="s">
        <v>9</v>
      </c>
      <c r="G15" s="4" t="s">
        <v>10</v>
      </c>
    </row>
    <row r="16" spans="1:7" x14ac:dyDescent="0.25">
      <c r="A16">
        <v>0</v>
      </c>
      <c r="F16" s="22">
        <f>C6</f>
        <v>1000</v>
      </c>
    </row>
    <row r="17" spans="1:7" x14ac:dyDescent="0.25">
      <c r="A17">
        <v>1</v>
      </c>
      <c r="B17" s="24">
        <v>43307.583055555559</v>
      </c>
      <c r="C17" s="5">
        <f t="shared" ref="C17:C48" si="0">PMT($C$9/52,$C$7,-$C$6)</f>
        <v>96.972936716187007</v>
      </c>
      <c r="D17" s="5">
        <f t="shared" ref="D17:D48" si="1">IPMT($C$9/52,A17,$C$7,-$C$6)</f>
        <v>96.15384615384616</v>
      </c>
      <c r="E17" s="5">
        <f t="shared" ref="E17:E48" si="2">C17-D17</f>
        <v>0.81909056234084687</v>
      </c>
      <c r="F17" s="22">
        <f t="shared" ref="F17:F48" si="3">F16-E18</f>
        <v>999.10215072974177</v>
      </c>
      <c r="G17" s="5">
        <f t="shared" ref="G17:G48" si="4">G16+E17</f>
        <v>0.81909056234084687</v>
      </c>
    </row>
    <row r="18" spans="1:7" x14ac:dyDescent="0.25">
      <c r="A18">
        <v>2</v>
      </c>
      <c r="B18" s="24">
        <v>43314.583055555559</v>
      </c>
      <c r="C18" s="5">
        <f t="shared" si="0"/>
        <v>96.972936716187007</v>
      </c>
      <c r="D18" s="5">
        <f t="shared" si="1"/>
        <v>96.075087445928773</v>
      </c>
      <c r="E18" s="5">
        <f t="shared" si="2"/>
        <v>0.89784927025823436</v>
      </c>
      <c r="F18" s="22">
        <f t="shared" si="3"/>
        <v>998.11796979888175</v>
      </c>
      <c r="G18" s="5">
        <f t="shared" si="4"/>
        <v>1.7169398325990812</v>
      </c>
    </row>
    <row r="19" spans="1:7" x14ac:dyDescent="0.25">
      <c r="A19">
        <v>3</v>
      </c>
      <c r="B19" s="24">
        <v>43321.583055555559</v>
      </c>
      <c r="C19" s="5">
        <f t="shared" si="0"/>
        <v>96.972936716187007</v>
      </c>
      <c r="D19" s="5">
        <f t="shared" si="1"/>
        <v>95.988755785327015</v>
      </c>
      <c r="E19" s="5">
        <f t="shared" si="2"/>
        <v>0.98418093085999203</v>
      </c>
      <c r="F19" s="22">
        <f t="shared" si="3"/>
        <v>997.03915608620832</v>
      </c>
      <c r="G19" s="5">
        <f t="shared" si="4"/>
        <v>2.7011207634590733</v>
      </c>
    </row>
    <row r="20" spans="1:7" x14ac:dyDescent="0.25">
      <c r="A20">
        <v>4</v>
      </c>
      <c r="B20" s="24">
        <v>43328.583055555559</v>
      </c>
      <c r="C20" s="5">
        <f t="shared" si="0"/>
        <v>96.972936716187007</v>
      </c>
      <c r="D20" s="5">
        <f t="shared" si="1"/>
        <v>95.894123003513556</v>
      </c>
      <c r="E20" s="5">
        <f t="shared" si="2"/>
        <v>1.0788137126734512</v>
      </c>
      <c r="F20" s="22">
        <f t="shared" si="3"/>
        <v>995.85661028577783</v>
      </c>
      <c r="G20" s="5">
        <f t="shared" si="4"/>
        <v>3.7799344761325244</v>
      </c>
    </row>
    <row r="21" spans="1:7" x14ac:dyDescent="0.25">
      <c r="A21">
        <v>5</v>
      </c>
      <c r="B21" s="24">
        <v>43335.583055555559</v>
      </c>
      <c r="C21" s="5">
        <f t="shared" si="0"/>
        <v>96.972936716187007</v>
      </c>
      <c r="D21" s="5">
        <f t="shared" si="1"/>
        <v>95.79039091575649</v>
      </c>
      <c r="E21" s="5">
        <f t="shared" si="2"/>
        <v>1.1825458004305176</v>
      </c>
      <c r="F21" s="22">
        <f t="shared" si="3"/>
        <v>994.56035815838288</v>
      </c>
      <c r="G21" s="5">
        <f t="shared" si="4"/>
        <v>4.962480276563042</v>
      </c>
    </row>
    <row r="22" spans="1:7" x14ac:dyDescent="0.25">
      <c r="A22">
        <v>6</v>
      </c>
      <c r="B22" s="24">
        <v>43342.583055555559</v>
      </c>
      <c r="C22" s="5">
        <f t="shared" si="0"/>
        <v>96.972936716187007</v>
      </c>
      <c r="D22" s="5">
        <f t="shared" si="1"/>
        <v>95.676684588792014</v>
      </c>
      <c r="E22" s="5">
        <f t="shared" si="2"/>
        <v>1.2962521273949932</v>
      </c>
      <c r="F22" s="22">
        <f t="shared" si="3"/>
        <v>993.13946640335371</v>
      </c>
      <c r="G22" s="5">
        <f t="shared" si="4"/>
        <v>6.2587324039580352</v>
      </c>
    </row>
    <row r="23" spans="1:7" x14ac:dyDescent="0.25">
      <c r="A23">
        <v>7</v>
      </c>
      <c r="B23" s="24">
        <v>43349.583055555559</v>
      </c>
      <c r="C23" s="5">
        <f t="shared" si="0"/>
        <v>96.972936716187007</v>
      </c>
      <c r="D23" s="5">
        <f t="shared" si="1"/>
        <v>95.55204496115789</v>
      </c>
      <c r="E23" s="5">
        <f t="shared" si="2"/>
        <v>1.4208917550291176</v>
      </c>
      <c r="F23" s="22">
        <f t="shared" si="3"/>
        <v>991.58195044111028</v>
      </c>
      <c r="G23" s="5">
        <f t="shared" si="4"/>
        <v>7.6796241589871528</v>
      </c>
    </row>
    <row r="24" spans="1:7" x14ac:dyDescent="0.25">
      <c r="A24">
        <v>8</v>
      </c>
      <c r="B24" s="24">
        <v>43356.583055555559</v>
      </c>
      <c r="C24" s="5">
        <f t="shared" si="0"/>
        <v>96.972936716187007</v>
      </c>
      <c r="D24" s="5">
        <f t="shared" si="1"/>
        <v>95.41542075394355</v>
      </c>
      <c r="E24" s="5">
        <f t="shared" si="2"/>
        <v>1.5575159622434569</v>
      </c>
      <c r="F24" s="22">
        <f t="shared" si="3"/>
        <v>989.87467332865106</v>
      </c>
      <c r="G24" s="5">
        <f t="shared" si="4"/>
        <v>9.2371401212306097</v>
      </c>
    </row>
    <row r="25" spans="1:7" x14ac:dyDescent="0.25">
      <c r="A25">
        <v>9</v>
      </c>
      <c r="B25" s="24">
        <v>43363.583055555559</v>
      </c>
      <c r="C25" s="5">
        <f t="shared" si="0"/>
        <v>96.972936716187007</v>
      </c>
      <c r="D25" s="5">
        <f t="shared" si="1"/>
        <v>95.265659603727826</v>
      </c>
      <c r="E25" s="5">
        <f t="shared" si="2"/>
        <v>1.707277112459181</v>
      </c>
      <c r="F25" s="22">
        <f t="shared" si="3"/>
        <v>988.0032349553785</v>
      </c>
      <c r="G25" s="5">
        <f t="shared" si="4"/>
        <v>10.944417233689791</v>
      </c>
    </row>
    <row r="26" spans="1:7" x14ac:dyDescent="0.25">
      <c r="A26">
        <v>10</v>
      </c>
      <c r="B26" s="24">
        <v>43370.583055555559</v>
      </c>
      <c r="C26" s="5">
        <f t="shared" si="0"/>
        <v>96.972936716187007</v>
      </c>
      <c r="D26" s="5">
        <f t="shared" si="1"/>
        <v>95.101498342914439</v>
      </c>
      <c r="E26" s="5">
        <f t="shared" si="2"/>
        <v>1.8714383732725679</v>
      </c>
      <c r="F26" s="22">
        <f t="shared" si="3"/>
        <v>985.95185058467587</v>
      </c>
      <c r="G26" s="5">
        <f t="shared" si="4"/>
        <v>12.815855606962359</v>
      </c>
    </row>
    <row r="27" spans="1:7" x14ac:dyDescent="0.25">
      <c r="A27">
        <v>11</v>
      </c>
      <c r="B27" s="24">
        <v>43377.583055555559</v>
      </c>
      <c r="C27" s="5">
        <f t="shared" si="0"/>
        <v>96.972936716187007</v>
      </c>
      <c r="D27" s="5">
        <f t="shared" si="1"/>
        <v>94.921552345484386</v>
      </c>
      <c r="E27" s="5">
        <f t="shared" si="2"/>
        <v>2.0513843707026211</v>
      </c>
      <c r="F27" s="22">
        <f t="shared" si="3"/>
        <v>983.70321771679028</v>
      </c>
      <c r="G27" s="5">
        <f t="shared" si="4"/>
        <v>14.86723997766498</v>
      </c>
    </row>
    <row r="28" spans="1:7" x14ac:dyDescent="0.25">
      <c r="A28">
        <v>12</v>
      </c>
      <c r="B28" s="24">
        <v>43384.583055555559</v>
      </c>
      <c r="C28" s="5">
        <f t="shared" si="0"/>
        <v>96.972936716187007</v>
      </c>
      <c r="D28" s="5">
        <f t="shared" si="1"/>
        <v>94.724303848301446</v>
      </c>
      <c r="E28" s="5">
        <f t="shared" si="2"/>
        <v>2.2486328678855614</v>
      </c>
      <c r="F28" s="22">
        <f t="shared" si="3"/>
        <v>981.23837015006961</v>
      </c>
      <c r="G28" s="5">
        <f t="shared" si="4"/>
        <v>17.115872845550541</v>
      </c>
    </row>
    <row r="29" spans="1:7" x14ac:dyDescent="0.25">
      <c r="A29">
        <v>13</v>
      </c>
      <c r="B29" s="24">
        <v>43391.583055555559</v>
      </c>
      <c r="C29" s="5">
        <f t="shared" si="0"/>
        <v>96.972936716187007</v>
      </c>
      <c r="D29" s="5">
        <f t="shared" si="1"/>
        <v>94.508089149466301</v>
      </c>
      <c r="E29" s="5">
        <f t="shared" si="2"/>
        <v>2.4648475667207066</v>
      </c>
      <c r="F29" s="22">
        <f t="shared" si="3"/>
        <v>978.53651800962575</v>
      </c>
      <c r="G29" s="5">
        <f t="shared" si="4"/>
        <v>19.580720412271248</v>
      </c>
    </row>
    <row r="30" spans="1:7" x14ac:dyDescent="0.25">
      <c r="A30">
        <v>14</v>
      </c>
      <c r="B30" s="24">
        <v>43398.583055555559</v>
      </c>
      <c r="C30" s="5">
        <f t="shared" si="0"/>
        <v>96.972936716187007</v>
      </c>
      <c r="D30" s="5">
        <f t="shared" si="1"/>
        <v>94.27108457574316</v>
      </c>
      <c r="E30" s="5">
        <f t="shared" si="2"/>
        <v>2.7018521404438474</v>
      </c>
      <c r="F30" s="22">
        <f t="shared" si="3"/>
        <v>975.57487239413922</v>
      </c>
      <c r="G30" s="5">
        <f t="shared" si="4"/>
        <v>22.282572552715095</v>
      </c>
    </row>
    <row r="31" spans="1:7" x14ac:dyDescent="0.25">
      <c r="A31">
        <v>15</v>
      </c>
      <c r="B31" s="24">
        <v>43405.583055555559</v>
      </c>
      <c r="C31" s="5">
        <f t="shared" si="0"/>
        <v>96.972936716187007</v>
      </c>
      <c r="D31" s="5">
        <f t="shared" si="1"/>
        <v>94.011291100700475</v>
      </c>
      <c r="E31" s="5">
        <f t="shared" si="2"/>
        <v>2.9616456154865318</v>
      </c>
      <c r="F31" s="22">
        <f t="shared" si="3"/>
        <v>972.32845316177895</v>
      </c>
      <c r="G31" s="5">
        <f t="shared" si="4"/>
        <v>25.244218168201627</v>
      </c>
    </row>
    <row r="32" spans="1:7" x14ac:dyDescent="0.25">
      <c r="A32">
        <v>16</v>
      </c>
      <c r="B32" s="24">
        <v>43412.583055555559</v>
      </c>
      <c r="C32" s="5">
        <f t="shared" si="0"/>
        <v>96.972936716187007</v>
      </c>
      <c r="D32" s="5">
        <f t="shared" si="1"/>
        <v>93.726517483826768</v>
      </c>
      <c r="E32" s="5">
        <f t="shared" si="2"/>
        <v>3.246419232360239</v>
      </c>
      <c r="F32" s="22">
        <f t="shared" si="3"/>
        <v>968.76987823399941</v>
      </c>
      <c r="G32" s="5">
        <f t="shared" si="4"/>
        <v>28.490637400561866</v>
      </c>
    </row>
    <row r="33" spans="1:7" x14ac:dyDescent="0.25">
      <c r="A33">
        <v>17</v>
      </c>
      <c r="B33" s="24">
        <v>43419.583055555559</v>
      </c>
      <c r="C33" s="5">
        <f t="shared" si="0"/>
        <v>96.972936716187007</v>
      </c>
      <c r="D33" s="5">
        <f t="shared" si="1"/>
        <v>93.414361788407518</v>
      </c>
      <c r="E33" s="5">
        <f t="shared" si="2"/>
        <v>3.5585749277794889</v>
      </c>
      <c r="F33" s="22">
        <f t="shared" si="3"/>
        <v>964.86913264008729</v>
      </c>
      <c r="G33" s="5">
        <f t="shared" si="4"/>
        <v>32.049212328341355</v>
      </c>
    </row>
    <row r="34" spans="1:7" x14ac:dyDescent="0.25">
      <c r="A34">
        <v>18</v>
      </c>
      <c r="B34" s="24">
        <v>43426.583055555559</v>
      </c>
      <c r="C34" s="5">
        <f t="shared" si="0"/>
        <v>96.972936716187007</v>
      </c>
      <c r="D34" s="5">
        <f t="shared" si="1"/>
        <v>93.072191122274859</v>
      </c>
      <c r="E34" s="5">
        <f t="shared" si="2"/>
        <v>3.9007455939121485</v>
      </c>
      <c r="F34" s="22">
        <f t="shared" si="3"/>
        <v>960.59331535445278</v>
      </c>
      <c r="G34" s="5">
        <f t="shared" si="4"/>
        <v>35.949957922253503</v>
      </c>
    </row>
    <row r="35" spans="1:7" x14ac:dyDescent="0.25">
      <c r="A35">
        <v>19</v>
      </c>
      <c r="B35" s="24">
        <v>43433.583055555559</v>
      </c>
      <c r="C35" s="5">
        <f t="shared" si="0"/>
        <v>96.972936716187007</v>
      </c>
      <c r="D35" s="5">
        <f t="shared" si="1"/>
        <v>92.697119430552547</v>
      </c>
      <c r="E35" s="5">
        <f t="shared" si="2"/>
        <v>4.2758172856344601</v>
      </c>
      <c r="F35" s="22">
        <f t="shared" si="3"/>
        <v>955.90636179135345</v>
      </c>
      <c r="G35" s="5">
        <f t="shared" si="4"/>
        <v>40.225775207887963</v>
      </c>
    </row>
    <row r="36" spans="1:7" x14ac:dyDescent="0.25">
      <c r="A36">
        <v>20</v>
      </c>
      <c r="B36" s="24">
        <v>43440.583055555559</v>
      </c>
      <c r="C36" s="5">
        <f t="shared" si="0"/>
        <v>96.972936716187007</v>
      </c>
      <c r="D36" s="5">
        <f t="shared" si="1"/>
        <v>92.285983153087685</v>
      </c>
      <c r="E36" s="5">
        <f t="shared" si="2"/>
        <v>4.6869535630993227</v>
      </c>
      <c r="F36" s="22">
        <f t="shared" si="3"/>
        <v>950.76873961641763</v>
      </c>
      <c r="G36" s="5">
        <f t="shared" si="4"/>
        <v>44.912728770987286</v>
      </c>
    </row>
    <row r="37" spans="1:7" x14ac:dyDescent="0.25">
      <c r="A37">
        <v>21</v>
      </c>
      <c r="B37" s="24">
        <v>43447.583055555559</v>
      </c>
      <c r="C37" s="5">
        <f t="shared" si="0"/>
        <v>96.972936716187007</v>
      </c>
      <c r="D37" s="5">
        <f t="shared" si="1"/>
        <v>91.835314541251222</v>
      </c>
      <c r="E37" s="5">
        <f t="shared" si="2"/>
        <v>5.1376221749357853</v>
      </c>
      <c r="F37" s="22">
        <f t="shared" si="3"/>
        <v>945.13711530927651</v>
      </c>
      <c r="G37" s="5">
        <f t="shared" si="4"/>
        <v>50.050350945923071</v>
      </c>
    </row>
    <row r="38" spans="1:7" x14ac:dyDescent="0.25">
      <c r="A38">
        <v>22</v>
      </c>
      <c r="B38" s="24">
        <v>43454.583055555559</v>
      </c>
      <c r="C38" s="5">
        <f t="shared" si="0"/>
        <v>96.972936716187007</v>
      </c>
      <c r="D38" s="5">
        <f t="shared" si="1"/>
        <v>91.341312409045855</v>
      </c>
      <c r="E38" s="5">
        <f t="shared" si="2"/>
        <v>5.631624307141152</v>
      </c>
      <c r="F38" s="22">
        <f t="shared" si="3"/>
        <v>938.96398866491029</v>
      </c>
      <c r="G38" s="5">
        <f t="shared" si="4"/>
        <v>55.681975253064223</v>
      </c>
    </row>
    <row r="39" spans="1:7" x14ac:dyDescent="0.25">
      <c r="A39">
        <v>23</v>
      </c>
      <c r="B39" s="24">
        <v>43461.583055555559</v>
      </c>
      <c r="C39" s="5">
        <f t="shared" si="0"/>
        <v>96.972936716187007</v>
      </c>
      <c r="D39" s="5">
        <f t="shared" si="1"/>
        <v>90.799810071820744</v>
      </c>
      <c r="E39" s="5">
        <f t="shared" si="2"/>
        <v>6.1731266443662633</v>
      </c>
      <c r="F39" s="22">
        <f t="shared" si="3"/>
        <v>932.19729215089342</v>
      </c>
      <c r="G39" s="5">
        <f t="shared" si="4"/>
        <v>61.855101897430487</v>
      </c>
    </row>
    <row r="40" spans="1:7" x14ac:dyDescent="0.25">
      <c r="A40">
        <v>24</v>
      </c>
      <c r="B40" s="24">
        <v>43468.583055555559</v>
      </c>
      <c r="C40" s="5">
        <f t="shared" si="0"/>
        <v>96.972936716187007</v>
      </c>
      <c r="D40" s="5">
        <f t="shared" si="1"/>
        <v>90.206240202170136</v>
      </c>
      <c r="E40" s="5">
        <f t="shared" si="2"/>
        <v>6.7666965140168713</v>
      </c>
      <c r="F40" s="22">
        <f t="shared" si="3"/>
        <v>924.77995174129796</v>
      </c>
      <c r="G40" s="5">
        <f t="shared" si="4"/>
        <v>68.621798411447358</v>
      </c>
    </row>
    <row r="41" spans="1:7" x14ac:dyDescent="0.25">
      <c r="A41">
        <v>25</v>
      </c>
      <c r="B41" s="24">
        <v>43475.583055555559</v>
      </c>
      <c r="C41" s="5">
        <f t="shared" si="0"/>
        <v>96.972936716187007</v>
      </c>
      <c r="D41" s="5">
        <f t="shared" si="1"/>
        <v>89.555596306591596</v>
      </c>
      <c r="E41" s="5">
        <f t="shared" si="2"/>
        <v>7.4173404095954112</v>
      </c>
      <c r="F41" s="22">
        <f t="shared" si="3"/>
        <v>916.64940552308758</v>
      </c>
      <c r="G41" s="5">
        <f t="shared" si="4"/>
        <v>76.039138821042769</v>
      </c>
    </row>
    <row r="42" spans="1:7" x14ac:dyDescent="0.25">
      <c r="A42">
        <v>26</v>
      </c>
      <c r="B42" s="24">
        <v>43482.583055555559</v>
      </c>
      <c r="C42" s="5">
        <f t="shared" si="0"/>
        <v>96.972936716187007</v>
      </c>
      <c r="D42" s="5">
        <f t="shared" si="1"/>
        <v>88.842390497976652</v>
      </c>
      <c r="E42" s="5">
        <f t="shared" si="2"/>
        <v>8.1305462182103554</v>
      </c>
      <c r="F42" s="22">
        <f t="shared" si="3"/>
        <v>907.73707601466469</v>
      </c>
      <c r="G42" s="5">
        <f t="shared" si="4"/>
        <v>84.169685039253125</v>
      </c>
    </row>
    <row r="43" spans="1:7" x14ac:dyDescent="0.25">
      <c r="A43">
        <v>27</v>
      </c>
      <c r="B43" s="24">
        <v>43489.583055555559</v>
      </c>
      <c r="C43" s="5">
        <f t="shared" si="0"/>
        <v>96.972936716187007</v>
      </c>
      <c r="D43" s="5">
        <f t="shared" si="1"/>
        <v>88.060607207764122</v>
      </c>
      <c r="E43" s="5">
        <f t="shared" si="2"/>
        <v>8.9123295084228857</v>
      </c>
      <c r="F43" s="22">
        <f t="shared" si="3"/>
        <v>897.9677917458165</v>
      </c>
      <c r="G43" s="5">
        <f t="shared" si="4"/>
        <v>93.08201454767601</v>
      </c>
    </row>
    <row r="44" spans="1:7" x14ac:dyDescent="0.25">
      <c r="A44">
        <v>28</v>
      </c>
      <c r="B44" s="24">
        <v>43496.583055555559</v>
      </c>
      <c r="C44" s="5">
        <f t="shared" si="0"/>
        <v>96.972936716187007</v>
      </c>
      <c r="D44" s="5">
        <f t="shared" si="1"/>
        <v>87.20365244733884</v>
      </c>
      <c r="E44" s="5">
        <f t="shared" si="2"/>
        <v>9.7692842688481676</v>
      </c>
      <c r="F44" s="22">
        <f t="shared" si="3"/>
        <v>887.25915322034837</v>
      </c>
      <c r="G44" s="5">
        <f t="shared" si="4"/>
        <v>102.85129881652418</v>
      </c>
    </row>
    <row r="45" spans="1:7" x14ac:dyDescent="0.25">
      <c r="A45">
        <v>29</v>
      </c>
      <c r="B45" s="24">
        <v>43503.583055555559</v>
      </c>
      <c r="C45" s="5">
        <f t="shared" si="0"/>
        <v>96.972936716187007</v>
      </c>
      <c r="D45" s="5">
        <f t="shared" si="1"/>
        <v>86.264298190718833</v>
      </c>
      <c r="E45" s="5">
        <f t="shared" si="2"/>
        <v>10.708638525468174</v>
      </c>
      <c r="F45" s="22">
        <f t="shared" si="3"/>
        <v>875.52083791358518</v>
      </c>
      <c r="G45" s="5">
        <f t="shared" si="4"/>
        <v>113.55993734199235</v>
      </c>
    </row>
    <row r="46" spans="1:7" x14ac:dyDescent="0.25">
      <c r="A46">
        <v>30</v>
      </c>
      <c r="B46" s="24">
        <v>43510.583055555559</v>
      </c>
      <c r="C46" s="5">
        <f t="shared" si="0"/>
        <v>96.972936716187007</v>
      </c>
      <c r="D46" s="5">
        <f t="shared" si="1"/>
        <v>85.234621409423809</v>
      </c>
      <c r="E46" s="5">
        <f t="shared" si="2"/>
        <v>11.738315306763198</v>
      </c>
      <c r="F46" s="22">
        <f t="shared" si="3"/>
        <v>862.65383844271014</v>
      </c>
      <c r="G46" s="5">
        <f t="shared" si="4"/>
        <v>125.29825264875555</v>
      </c>
    </row>
    <row r="47" spans="1:7" x14ac:dyDescent="0.25">
      <c r="A47">
        <v>31</v>
      </c>
      <c r="B47" s="24">
        <v>43517.583055555559</v>
      </c>
      <c r="C47" s="5">
        <f t="shared" si="0"/>
        <v>96.972936716187007</v>
      </c>
      <c r="D47" s="5">
        <f t="shared" si="1"/>
        <v>84.105937245311964</v>
      </c>
      <c r="E47" s="5">
        <f t="shared" si="2"/>
        <v>12.866999470875044</v>
      </c>
      <c r="F47" s="22">
        <f t="shared" si="3"/>
        <v>848.549627484251</v>
      </c>
      <c r="G47" s="5">
        <f t="shared" si="4"/>
        <v>138.16525211963059</v>
      </c>
    </row>
    <row r="48" spans="1:7" x14ac:dyDescent="0.25">
      <c r="A48">
        <v>32</v>
      </c>
      <c r="B48" s="24">
        <v>43524.583055555559</v>
      </c>
      <c r="C48" s="5">
        <f t="shared" si="0"/>
        <v>96.972936716187007</v>
      </c>
      <c r="D48" s="5">
        <f t="shared" si="1"/>
        <v>82.868725757727816</v>
      </c>
      <c r="E48" s="5">
        <f t="shared" si="2"/>
        <v>14.104210958459191</v>
      </c>
      <c r="F48" s="22">
        <f t="shared" si="3"/>
        <v>833.08924239517069</v>
      </c>
      <c r="G48" s="5">
        <f t="shared" si="4"/>
        <v>152.26946307808979</v>
      </c>
    </row>
    <row r="49" spans="1:7" x14ac:dyDescent="0.25">
      <c r="A49">
        <v>33</v>
      </c>
      <c r="B49" s="24">
        <v>43531.583055555559</v>
      </c>
      <c r="C49" s="5">
        <f t="shared" ref="C49:C68" si="5">PMT($C$9/52,$C$7,-$C$6)</f>
        <v>96.972936716187007</v>
      </c>
      <c r="D49" s="5">
        <f t="shared" ref="D49:D68" si="6">IPMT($C$9/52,A49,$C$7,-$C$6)</f>
        <v>81.512551627106745</v>
      </c>
      <c r="E49" s="5">
        <f t="shared" ref="E49:E68" si="7">C49-D49</f>
        <v>15.460385089080262</v>
      </c>
      <c r="F49" s="22">
        <f t="shared" ref="F49:F68" si="8">F48-E50</f>
        <v>816.14228181675583</v>
      </c>
      <c r="G49" s="5">
        <f t="shared" ref="G49:G68" si="9">G48+E49</f>
        <v>167.72984816717005</v>
      </c>
    </row>
    <row r="50" spans="1:7" x14ac:dyDescent="0.25">
      <c r="A50">
        <v>34</v>
      </c>
      <c r="B50" s="24">
        <v>43538.583055555559</v>
      </c>
      <c r="C50" s="5">
        <f t="shared" si="5"/>
        <v>96.972936716187007</v>
      </c>
      <c r="D50" s="5">
        <f t="shared" si="6"/>
        <v>80.025976137772119</v>
      </c>
      <c r="E50" s="5">
        <f t="shared" si="7"/>
        <v>16.946960578414888</v>
      </c>
      <c r="F50" s="22">
        <f t="shared" si="8"/>
        <v>797.56580579810873</v>
      </c>
      <c r="G50" s="5">
        <f t="shared" si="9"/>
        <v>184.67680874558494</v>
      </c>
    </row>
    <row r="51" spans="1:7" x14ac:dyDescent="0.25">
      <c r="A51">
        <v>35</v>
      </c>
      <c r="B51" s="24">
        <v>43545.583055555559</v>
      </c>
      <c r="C51" s="5">
        <f t="shared" si="5"/>
        <v>96.972936716187007</v>
      </c>
      <c r="D51" s="5">
        <f t="shared" si="6"/>
        <v>78.396460697539908</v>
      </c>
      <c r="E51" s="5">
        <f t="shared" si="7"/>
        <v>18.576476018647099</v>
      </c>
      <c r="F51" s="22">
        <f t="shared" si="8"/>
        <v>777.20313016228397</v>
      </c>
      <c r="G51" s="5">
        <f t="shared" si="9"/>
        <v>203.25328476423203</v>
      </c>
    </row>
    <row r="52" spans="1:7" x14ac:dyDescent="0.25">
      <c r="A52">
        <v>36</v>
      </c>
      <c r="B52" s="24">
        <v>43552.583055555559</v>
      </c>
      <c r="C52" s="5">
        <f t="shared" si="5"/>
        <v>96.972936716187007</v>
      </c>
      <c r="D52" s="5">
        <f t="shared" si="6"/>
        <v>76.610261080362292</v>
      </c>
      <c r="E52" s="5">
        <f t="shared" si="7"/>
        <v>20.362675635824715</v>
      </c>
      <c r="F52" s="22">
        <f t="shared" si="8"/>
        <v>754.88250494609156</v>
      </c>
      <c r="G52" s="5">
        <f t="shared" si="9"/>
        <v>223.61596040005674</v>
      </c>
    </row>
    <row r="53" spans="1:7" x14ac:dyDescent="0.25">
      <c r="A53">
        <v>37</v>
      </c>
      <c r="B53" s="24">
        <v>43559.583055555559</v>
      </c>
      <c r="C53" s="5">
        <f t="shared" si="5"/>
        <v>96.972936716187007</v>
      </c>
      <c r="D53" s="5">
        <f t="shared" si="6"/>
        <v>74.652311499994539</v>
      </c>
      <c r="E53" s="5">
        <f t="shared" si="7"/>
        <v>22.320625216192468</v>
      </c>
      <c r="F53" s="22">
        <f t="shared" si="8"/>
        <v>730.41566576680361</v>
      </c>
      <c r="G53" s="5">
        <f t="shared" si="9"/>
        <v>245.9365856162492</v>
      </c>
    </row>
    <row r="54" spans="1:7" x14ac:dyDescent="0.25">
      <c r="A54">
        <v>38</v>
      </c>
      <c r="B54" s="24">
        <v>43566.583055555559</v>
      </c>
      <c r="C54" s="5">
        <f t="shared" si="5"/>
        <v>96.972936716187007</v>
      </c>
      <c r="D54" s="5">
        <f t="shared" si="6"/>
        <v>72.506097536899105</v>
      </c>
      <c r="E54" s="5">
        <f t="shared" si="7"/>
        <v>24.466839179287902</v>
      </c>
      <c r="F54" s="22">
        <f t="shared" si="8"/>
        <v>703.59624589719954</v>
      </c>
      <c r="G54" s="5">
        <f t="shared" si="9"/>
        <v>270.40342479553709</v>
      </c>
    </row>
    <row r="55" spans="1:7" x14ac:dyDescent="0.25">
      <c r="A55">
        <v>39</v>
      </c>
      <c r="B55" s="24">
        <v>43573.583055555559</v>
      </c>
      <c r="C55" s="5">
        <f t="shared" si="5"/>
        <v>96.972936716187007</v>
      </c>
      <c r="D55" s="5">
        <f t="shared" si="6"/>
        <v>70.15351684658296</v>
      </c>
      <c r="E55" s="5">
        <f t="shared" si="7"/>
        <v>26.819419869604047</v>
      </c>
      <c r="F55" s="22">
        <f t="shared" si="8"/>
        <v>674.1980356555182</v>
      </c>
      <c r="G55" s="5">
        <f t="shared" si="9"/>
        <v>297.22284466514111</v>
      </c>
    </row>
    <row r="56" spans="1:7" x14ac:dyDescent="0.25">
      <c r="A56">
        <v>40</v>
      </c>
      <c r="B56" s="24">
        <v>43580.583055555559</v>
      </c>
      <c r="C56" s="5">
        <f t="shared" si="5"/>
        <v>96.972936716187007</v>
      </c>
      <c r="D56" s="5">
        <f t="shared" si="6"/>
        <v>67.574726474505638</v>
      </c>
      <c r="E56" s="5">
        <f t="shared" si="7"/>
        <v>29.398210241681369</v>
      </c>
      <c r="F56" s="22">
        <f t="shared" si="8"/>
        <v>641.97307442905981</v>
      </c>
      <c r="G56" s="5">
        <f t="shared" si="9"/>
        <v>326.62105490682245</v>
      </c>
    </row>
    <row r="57" spans="1:7" x14ac:dyDescent="0.25">
      <c r="A57">
        <v>41</v>
      </c>
      <c r="B57" s="24">
        <v>43587.583055555559</v>
      </c>
      <c r="C57" s="5">
        <f t="shared" si="5"/>
        <v>96.972936716187007</v>
      </c>
      <c r="D57" s="5">
        <f t="shared" si="6"/>
        <v>64.747975489728574</v>
      </c>
      <c r="E57" s="5">
        <f t="shared" si="7"/>
        <v>32.224961226458433</v>
      </c>
      <c r="F57" s="22">
        <f t="shared" si="8"/>
        <v>606.6495592385188</v>
      </c>
      <c r="G57" s="5">
        <f t="shared" si="9"/>
        <v>358.8460161332809</v>
      </c>
    </row>
    <row r="58" spans="1:7" x14ac:dyDescent="0.25">
      <c r="A58">
        <v>42</v>
      </c>
      <c r="B58" s="24">
        <v>43594.583055555559</v>
      </c>
      <c r="C58" s="5">
        <f t="shared" si="5"/>
        <v>96.972936716187007</v>
      </c>
      <c r="D58" s="5">
        <f t="shared" si="6"/>
        <v>61.649421525646041</v>
      </c>
      <c r="E58" s="5">
        <f t="shared" si="7"/>
        <v>35.323515190540967</v>
      </c>
      <c r="F58" s="22">
        <f t="shared" si="8"/>
        <v>567.92955220273348</v>
      </c>
      <c r="G58" s="5">
        <f t="shared" si="9"/>
        <v>394.16953132382184</v>
      </c>
    </row>
    <row r="59" spans="1:7" x14ac:dyDescent="0.25">
      <c r="A59">
        <v>43</v>
      </c>
      <c r="B59" s="24">
        <v>43601.583055555559</v>
      </c>
      <c r="C59" s="5">
        <f t="shared" si="5"/>
        <v>96.972936716187007</v>
      </c>
      <c r="D59" s="5">
        <f t="shared" si="6"/>
        <v>58.252929680401714</v>
      </c>
      <c r="E59" s="5">
        <f t="shared" si="7"/>
        <v>38.720007035785294</v>
      </c>
      <c r="F59" s="22">
        <f t="shared" si="8"/>
        <v>525.48646756735343</v>
      </c>
      <c r="G59" s="5">
        <f t="shared" si="9"/>
        <v>432.88953835960712</v>
      </c>
    </row>
    <row r="60" spans="1:7" x14ac:dyDescent="0.25">
      <c r="A60">
        <v>44</v>
      </c>
      <c r="B60" s="24">
        <v>43608.583055555559</v>
      </c>
      <c r="C60" s="5">
        <f t="shared" si="5"/>
        <v>96.972936716187007</v>
      </c>
      <c r="D60" s="5">
        <f t="shared" si="6"/>
        <v>54.529852080806997</v>
      </c>
      <c r="E60" s="5">
        <f t="shared" si="7"/>
        <v>42.443084635380011</v>
      </c>
      <c r="F60" s="22">
        <f t="shared" si="8"/>
        <v>478.96231710164841</v>
      </c>
      <c r="G60" s="5">
        <f t="shared" si="9"/>
        <v>475.3326229949871</v>
      </c>
    </row>
    <row r="61" spans="1:7" x14ac:dyDescent="0.25">
      <c r="A61">
        <v>45</v>
      </c>
      <c r="B61" s="24">
        <v>43615.583055555559</v>
      </c>
      <c r="C61" s="5">
        <f t="shared" si="5"/>
        <v>96.972936716187007</v>
      </c>
      <c r="D61" s="5">
        <f t="shared" si="6"/>
        <v>50.448786250481987</v>
      </c>
      <c r="E61" s="5">
        <f t="shared" si="7"/>
        <v>46.52415046570502</v>
      </c>
      <c r="F61" s="22">
        <f t="shared" si="8"/>
        <v>427.96469062962558</v>
      </c>
      <c r="G61" s="5">
        <f t="shared" si="9"/>
        <v>521.85677346069212</v>
      </c>
    </row>
    <row r="62" spans="1:7" x14ac:dyDescent="0.25">
      <c r="A62">
        <v>46</v>
      </c>
      <c r="B62" s="24">
        <v>43622.583055555559</v>
      </c>
      <c r="C62" s="5">
        <f t="shared" si="5"/>
        <v>96.972936716187007</v>
      </c>
      <c r="D62" s="5">
        <f t="shared" si="6"/>
        <v>45.975310244164199</v>
      </c>
      <c r="E62" s="5">
        <f t="shared" si="7"/>
        <v>50.997626472022809</v>
      </c>
      <c r="F62" s="22">
        <f t="shared" si="8"/>
        <v>372.06344622760059</v>
      </c>
      <c r="G62" s="5">
        <f t="shared" si="9"/>
        <v>572.85439993271495</v>
      </c>
    </row>
    <row r="63" spans="1:7" x14ac:dyDescent="0.25">
      <c r="A63">
        <v>47</v>
      </c>
      <c r="B63" s="24">
        <v>43629.583055555559</v>
      </c>
      <c r="C63" s="5">
        <f t="shared" si="5"/>
        <v>96.972936716187007</v>
      </c>
      <c r="D63" s="5">
        <f t="shared" si="6"/>
        <v>41.071692314162007</v>
      </c>
      <c r="E63" s="5">
        <f t="shared" si="7"/>
        <v>55.901244402025</v>
      </c>
      <c r="F63" s="22">
        <f t="shared" si="8"/>
        <v>310.78708217153473</v>
      </c>
      <c r="G63" s="5">
        <f t="shared" si="9"/>
        <v>628.75564433473994</v>
      </c>
    </row>
    <row r="64" spans="1:7" x14ac:dyDescent="0.25">
      <c r="A64">
        <v>48</v>
      </c>
      <c r="B64" s="24">
        <v>43636.583055555559</v>
      </c>
      <c r="C64" s="5">
        <f t="shared" si="5"/>
        <v>96.972936716187007</v>
      </c>
      <c r="D64" s="5">
        <f t="shared" si="6"/>
        <v>35.696572660121134</v>
      </c>
      <c r="E64" s="5">
        <f t="shared" si="7"/>
        <v>61.276364056065873</v>
      </c>
      <c r="F64" s="22">
        <f t="shared" si="8"/>
        <v>243.61876003315484</v>
      </c>
      <c r="G64" s="5">
        <f t="shared" si="9"/>
        <v>690.0320083908058</v>
      </c>
    </row>
    <row r="65" spans="1:7" x14ac:dyDescent="0.25">
      <c r="A65">
        <v>49</v>
      </c>
      <c r="B65" s="24">
        <v>43643.583055555559</v>
      </c>
      <c r="C65" s="5">
        <f t="shared" si="5"/>
        <v>96.972936716187007</v>
      </c>
      <c r="D65" s="5">
        <f t="shared" si="6"/>
        <v>29.804614577807108</v>
      </c>
      <c r="E65" s="5">
        <f t="shared" si="7"/>
        <v>67.168322138379892</v>
      </c>
      <c r="F65" s="22">
        <f t="shared" si="8"/>
        <v>169.99194538146918</v>
      </c>
      <c r="G65" s="5">
        <f t="shared" si="9"/>
        <v>757.20033052918575</v>
      </c>
    </row>
    <row r="66" spans="1:7" x14ac:dyDescent="0.25">
      <c r="A66">
        <v>50</v>
      </c>
      <c r="B66" s="24">
        <v>43650.583055555559</v>
      </c>
      <c r="C66" s="5">
        <f t="shared" si="5"/>
        <v>96.972936716187007</v>
      </c>
      <c r="D66" s="5">
        <f t="shared" si="6"/>
        <v>23.346122064501348</v>
      </c>
      <c r="E66" s="5">
        <f t="shared" si="7"/>
        <v>73.626814651685663</v>
      </c>
      <c r="F66" s="22">
        <f t="shared" si="8"/>
        <v>89.285629320967587</v>
      </c>
      <c r="G66" s="5">
        <f t="shared" si="9"/>
        <v>830.82714518087141</v>
      </c>
    </row>
    <row r="67" spans="1:7" x14ac:dyDescent="0.25">
      <c r="A67">
        <v>51</v>
      </c>
      <c r="B67" s="24">
        <v>43657.583055555559</v>
      </c>
      <c r="C67" s="5">
        <f t="shared" si="5"/>
        <v>96.972936716187007</v>
      </c>
      <c r="D67" s="5">
        <f t="shared" si="6"/>
        <v>16.266620655685418</v>
      </c>
      <c r="E67" s="5">
        <f t="shared" si="7"/>
        <v>80.706316060501592</v>
      </c>
      <c r="F67" s="22">
        <f t="shared" si="8"/>
        <v>0.81909056234084687</v>
      </c>
      <c r="G67" s="5">
        <f t="shared" si="9"/>
        <v>911.53346124137306</v>
      </c>
    </row>
    <row r="68" spans="1:7" x14ac:dyDescent="0.25">
      <c r="A68">
        <v>52</v>
      </c>
      <c r="B68" s="24">
        <v>43664.583055555559</v>
      </c>
      <c r="C68" s="5">
        <f t="shared" si="5"/>
        <v>96.972936716187007</v>
      </c>
      <c r="D68" s="5">
        <f t="shared" si="6"/>
        <v>8.5063979575602637</v>
      </c>
      <c r="E68" s="5">
        <f t="shared" si="7"/>
        <v>88.46653875862674</v>
      </c>
      <c r="F68" s="22">
        <f t="shared" si="8"/>
        <v>0.81909056234084687</v>
      </c>
      <c r="G68" s="5">
        <f t="shared" si="9"/>
        <v>999.99999999999977</v>
      </c>
    </row>
    <row r="69" spans="1:7" x14ac:dyDescent="0.25">
      <c r="B69">
        <v>52</v>
      </c>
    </row>
  </sheetData>
  <mergeCells count="2">
    <mergeCell ref="A4:G4"/>
    <mergeCell ref="A6:B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oja3.prestamo">
                <anchor moveWithCells="1" sizeWithCells="1">
                  <from>
                    <xdr:col>0</xdr:col>
                    <xdr:colOff>466725</xdr:colOff>
                    <xdr:row>11</xdr:row>
                    <xdr:rowOff>0</xdr:rowOff>
                  </from>
                  <to>
                    <xdr:col>2</xdr:col>
                    <xdr:colOff>85725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hoja1_mensual</vt:lpstr>
      <vt:lpstr>Hoja2_quincenal</vt:lpstr>
      <vt:lpstr>hoja3_semanal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Silvana</dc:creator>
  <cp:lastModifiedBy>Juan Pablo Pino Arauz</cp:lastModifiedBy>
  <cp:lastPrinted>2018-07-25T14:57:24Z</cp:lastPrinted>
  <dcterms:created xsi:type="dcterms:W3CDTF">2018-07-18T04:49:03Z</dcterms:created>
  <dcterms:modified xsi:type="dcterms:W3CDTF">2025-04-22T22:52:34Z</dcterms:modified>
</cp:coreProperties>
</file>